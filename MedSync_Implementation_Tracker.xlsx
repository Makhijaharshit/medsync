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rontend" sheetId="2" state="visible" r:id="rId4"/>
    <sheet name="Backend" sheetId="3" state="visible" r:id="rId5"/>
    <sheet name="Security &amp; Compliance" sheetId="4" state="visible" r:id="rId6"/>
    <sheet name="Production Extens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<sst xmlns="http://schemas.openxmlformats.org/spreadsheetml/2006/main" count="535" uniqueCount="240">
  <si>
    <t xml:space="preserve">MedSync — Implementation Tracker</t>
  </si>
  <si>
    <t xml:space="preserve">Auto-updating rollup — edit Status in the Frontend / Backend sheets</t>
  </si>
  <si>
    <t xml:space="preserve">Track</t>
  </si>
  <si>
    <t xml:space="preserve">Total Tasks</t>
  </si>
  <si>
    <t xml:space="preserve">Not Started</t>
  </si>
  <si>
    <t xml:space="preserve">In Progress</t>
  </si>
  <si>
    <t xml:space="preserve">Blocked</t>
  </si>
  <si>
    <t xml:space="preserve">Done</t>
  </si>
  <si>
    <t xml:space="preserve">Frontend</t>
  </si>
  <si>
    <t xml:space="preserve">Backend</t>
  </si>
  <si>
    <t xml:space="preserve">Total</t>
  </si>
  <si>
    <t xml:space="preserve">% Complete</t>
  </si>
  <si>
    <t xml:space="preserve">Other Sheets</t>
  </si>
  <si>
    <t xml:space="preserve">Security &amp; Compliance Checklist</t>
  </si>
  <si>
    <t xml:space="preserve">Production Extensions (Backlog)</t>
  </si>
  <si>
    <t xml:space="preserve">Task</t>
  </si>
  <si>
    <t xml:space="preserve">Sub-Module</t>
  </si>
  <si>
    <t xml:space="preserve">Priority</t>
  </si>
  <si>
    <t xml:space="preserve">Status</t>
  </si>
  <si>
    <t xml:space="preserve">Owner</t>
  </si>
  <si>
    <t xml:space="preserve">PRD Section</t>
  </si>
  <si>
    <t xml:space="preserve">Notes / Blockers</t>
  </si>
  <si>
    <t xml:space="preserve">Patient App</t>
  </si>
  <si>
    <t xml:space="preserve">Registration / login screens</t>
  </si>
  <si>
    <t xml:space="preserve">P0</t>
  </si>
  <si>
    <t xml:space="preserve">4.1 / 28</t>
  </si>
  <si>
    <t xml:space="preserve">Profile &amp; identity information management</t>
  </si>
  <si>
    <t xml:space="preserve">P1</t>
  </si>
  <si>
    <t xml:space="preserve">3.1</t>
  </si>
  <si>
    <t xml:space="preserve">Document upload flow (PDF / image, multi-file)</t>
  </si>
  <si>
    <t xml:space="preserve">4.2 / 28</t>
  </si>
  <si>
    <t xml:space="preserve">Upload progress &amp; processing-status indicators</t>
  </si>
  <si>
    <t xml:space="preserve">4.2</t>
  </si>
  <si>
    <t xml:space="preserve">Extracted-information review &amp; verify/correct UI</t>
  </si>
  <si>
    <t xml:space="preserve">4.3 / 28</t>
  </si>
  <si>
    <t xml:space="preserve">Medical timeline view with type &amp; date-range filters</t>
  </si>
  <si>
    <t xml:space="preserve">5 / 28</t>
  </si>
  <si>
    <t xml:space="preserve">Timeline event detail + original source document viewer</t>
  </si>
  <si>
    <t xml:space="preserve">5</t>
  </si>
  <si>
    <t xml:space="preserve">Clinical summary view (labeled AI-assisted)</t>
  </si>
  <si>
    <t xml:space="preserve">P2</t>
  </si>
  <si>
    <t xml:space="preserve">6</t>
  </si>
  <si>
    <t xml:space="preserve">Emergency profile configuration UI</t>
  </si>
  <si>
    <t xml:space="preserve">7 / 28</t>
  </si>
  <si>
    <t xml:space="preserve">Emergency contacts management (add/verify/priority)</t>
  </si>
  <si>
    <t xml:space="preserve">10.2 / 22 / 28</t>
  </si>
  <si>
    <t xml:space="preserve">Emergency trigger enable/disable settings</t>
  </si>
  <si>
    <t xml:space="preserve">9</t>
  </si>
  <si>
    <t xml:space="preserve">Manual SOS button + confirmation flow</t>
  </si>
  <si>
    <t xml:space="preserve">9.1 / 12 / 28</t>
  </si>
  <si>
    <t xml:space="preserve">Emergency QR / identifier display</t>
  </si>
  <si>
    <t xml:space="preserve">8.1 / 28</t>
  </si>
  <si>
    <t xml:space="preserve">Location permission prompt &amp; sharing status UI</t>
  </si>
  <si>
    <t xml:space="preserve">11 / 28</t>
  </si>
  <si>
    <t xml:space="preserve">Consent &amp; access-history viewer</t>
  </si>
  <si>
    <t xml:space="preserve">14 / 30</t>
  </si>
  <si>
    <t xml:space="preserve">Emergency event &amp; notification history view</t>
  </si>
  <si>
    <t xml:space="preserve">Doctor Portal</t>
  </si>
  <si>
    <t xml:space="preserve">Clinician login / MFA screen</t>
  </si>
  <si>
    <t xml:space="preserve">4.1</t>
  </si>
  <si>
    <t xml:space="preserve">Patient search / lookup with authorization gate</t>
  </si>
  <si>
    <t xml:space="preserve">3.2 / 28</t>
  </si>
  <si>
    <t xml:space="preserve">Structured medical history view</t>
  </si>
  <si>
    <t xml:space="preserve">4.4 / 28</t>
  </si>
  <si>
    <t xml:space="preserve">Longitudinal timeline view (clinician-facing)</t>
  </si>
  <si>
    <t xml:space="preserve">Original source document viewer</t>
  </si>
  <si>
    <t xml:space="preserve">Add / update clinical event form</t>
  </si>
  <si>
    <t xml:space="preserve">AI-extracted information review UI</t>
  </si>
  <si>
    <t xml:space="preserve">4.3</t>
  </si>
  <si>
    <t xml:space="preserve">Clinical summary generation &amp; display</t>
  </si>
  <si>
    <t xml:space="preserve">Paramedic App</t>
  </si>
  <si>
    <t xml:space="preserve">Responder login / verification screen</t>
  </si>
  <si>
    <t xml:space="preserve">3.3 / 28</t>
  </si>
  <si>
    <t xml:space="preserve">Emergency identifier scan / lookup flow</t>
  </si>
  <si>
    <t xml:space="preserve">Emergency profile display (critical info prioritized)</t>
  </si>
  <si>
    <t xml:space="preserve">Break-glass access request + reason capture UI</t>
  </si>
  <si>
    <t xml:space="preserve">8.2</t>
  </si>
  <si>
    <t xml:space="preserve">Request additional information flow</t>
  </si>
  <si>
    <t xml:space="preserve">3.3</t>
  </si>
  <si>
    <t xml:space="preserve">Emergency access audit visibility for responder</t>
  </si>
  <si>
    <t xml:space="preserve">Admin Console</t>
  </si>
  <si>
    <t xml:space="preserve">System configuration screens</t>
  </si>
  <si>
    <t xml:space="preserve">3.5</t>
  </si>
  <si>
    <t xml:space="preserve">Organization &amp; role management UI</t>
  </si>
  <si>
    <t xml:space="preserve">System health monitoring dashboard</t>
  </si>
  <si>
    <t xml:space="preserve">3.5 / 26</t>
  </si>
  <si>
    <t xml:space="preserve">Security / audit event review UI</t>
  </si>
  <si>
    <t xml:space="preserve">3.5 / 15.3</t>
  </si>
  <si>
    <t xml:space="preserve">Shared / Design System</t>
  </si>
  <si>
    <t xml:space="preserve">Core design system &amp; component library</t>
  </si>
  <si>
    <t xml:space="preserve">Shared</t>
  </si>
  <si>
    <t xml:space="preserve">—</t>
  </si>
  <si>
    <t xml:space="preserve">Accessibility &amp; responsive layout pass</t>
  </si>
  <si>
    <t xml:space="preserve">Critical-alert visual prioritization pattern</t>
  </si>
  <si>
    <t xml:space="preserve">7</t>
  </si>
  <si>
    <t xml:space="preserve">Failure / degraded-state UI (GPS off, offline, stale data)</t>
  </si>
  <si>
    <t xml:space="preserve">25</t>
  </si>
  <si>
    <t xml:space="preserve">Auth &amp; Identity</t>
  </si>
  <si>
    <t xml:space="preserve">Registration / login API</t>
  </si>
  <si>
    <t xml:space="preserve">Auth</t>
  </si>
  <si>
    <t xml:space="preserve">MFA for privileged roles</t>
  </si>
  <si>
    <t xml:space="preserve">RBAC engine + resource-level authorization</t>
  </si>
  <si>
    <t xml:space="preserve">15.2 / 28</t>
  </si>
  <si>
    <t xml:space="preserve">Session &amp; device management</t>
  </si>
  <si>
    <t xml:space="preserve">Account recovery flow</t>
  </si>
  <si>
    <t xml:space="preserve">Patient identity matching before record attach</t>
  </si>
  <si>
    <t xml:space="preserve">Document Ingestion</t>
  </si>
  <si>
    <t xml:space="preserve">Upload API + virus/malware scanning</t>
  </si>
  <si>
    <t xml:space="preserve">Ingestion</t>
  </si>
  <si>
    <t xml:space="preserve">4.2 / 15.1 / 28</t>
  </si>
  <si>
    <t xml:space="preserve">Document classification service</t>
  </si>
  <si>
    <t xml:space="preserve">OCR pipeline integration</t>
  </si>
  <si>
    <t xml:space="preserve">4.2 / 28 / 30</t>
  </si>
  <si>
    <t xml:space="preserve">Text normalization step</t>
  </si>
  <si>
    <t xml:space="preserve">Object storage for original documents</t>
  </si>
  <si>
    <t xml:space="preserve">4.2 / 19 / 30</t>
  </si>
  <si>
    <t xml:space="preserve">AI Extraction</t>
  </si>
  <si>
    <t xml:space="preserve">Medical entity extraction service</t>
  </si>
  <si>
    <t xml:space="preserve">AI</t>
  </si>
  <si>
    <t xml:space="preserve">4.3 / 28 / 30</t>
  </si>
  <si>
    <t xml:space="preserve">Field normalization</t>
  </si>
  <si>
    <t xml:space="preserve">Confidence scoring</t>
  </si>
  <si>
    <t xml:space="preserve">4.3 / 30</t>
  </si>
  <si>
    <t xml:space="preserve">Verification-state workflow (no silent overwrite)</t>
  </si>
  <si>
    <t xml:space="preserve">4.3 / 20</t>
  </si>
  <si>
    <t xml:space="preserve">Source-linked extraction metadata (doc/page/timestamp/model)</t>
  </si>
  <si>
    <t xml:space="preserve">Medical Record &amp; Timeline</t>
  </si>
  <si>
    <t xml:space="preserve">Structured record schema (conditions, meds, allergies, etc.)</t>
  </si>
  <si>
    <t xml:space="preserve">Records</t>
  </si>
  <si>
    <t xml:space="preserve">4.4 / 16</t>
  </si>
  <si>
    <t xml:space="preserve">Timeline generation / indexing service</t>
  </si>
  <si>
    <t xml:space="preserve">Timeline filter &amp; query API (type, date range)</t>
  </si>
  <si>
    <t xml:space="preserve">Clinical summary generation service (source-grounded)</t>
  </si>
  <si>
    <t xml:space="preserve">6 / 28</t>
  </si>
  <si>
    <t xml:space="preserve">Emergency Event Service</t>
  </si>
  <si>
    <t xml:space="preserve">Emergency event state machine</t>
  </si>
  <si>
    <t xml:space="preserve">Emergency</t>
  </si>
  <si>
    <t xml:space="preserve">12</t>
  </si>
  <si>
    <t xml:space="preserve">Manual SOS trigger API</t>
  </si>
  <si>
    <t xml:space="preserve">9.1 / 28 / 30</t>
  </si>
  <si>
    <t xml:space="preserve">Device / external emergency trigger intake API</t>
  </si>
  <si>
    <t xml:space="preserve">9.1</t>
  </si>
  <si>
    <t xml:space="preserve">Confirmation-window / false-positive handling logic</t>
  </si>
  <si>
    <t xml:space="preserve">24</t>
  </si>
  <si>
    <t xml:space="preserve">Break-glass access workflow + reason logging</t>
  </si>
  <si>
    <t xml:space="preserve">8.2 / 30</t>
  </si>
  <si>
    <t xml:space="preserve">Location Service</t>
  </si>
  <si>
    <t xml:space="preserve">Location capture API</t>
  </si>
  <si>
    <t xml:space="preserve">Location</t>
  </si>
  <si>
    <t xml:space="preserve">11 / 28 / 30</t>
  </si>
  <si>
    <t xml:space="preserve">Location encryption + configurable retention</t>
  </si>
  <si>
    <t xml:space="preserve">11</t>
  </si>
  <si>
    <t xml:space="preserve">Graceful degradation (no fabricated location)</t>
  </si>
  <si>
    <t xml:space="preserve">11 / 25</t>
  </si>
  <si>
    <t xml:space="preserve">Notification Service</t>
  </si>
  <si>
    <t xml:space="preserve">Async notification dispatch (SMS / Push / Email)</t>
  </si>
  <si>
    <t xml:space="preserve">Notification</t>
  </si>
  <si>
    <t xml:space="preserve">10.1 / 21 / 28 / 30</t>
  </si>
  <si>
    <t xml:space="preserve">Delivery status tracking</t>
  </si>
  <si>
    <t xml:space="preserve">10.2</t>
  </si>
  <si>
    <t xml:space="preserve">Duplicate-notification suppression per event</t>
  </si>
  <si>
    <t xml:space="preserve">10.2 / 24</t>
  </si>
  <si>
    <t xml:space="preserve">Emergency contact CRUD API</t>
  </si>
  <si>
    <t xml:space="preserve">22 / 28</t>
  </si>
  <si>
    <t xml:space="preserve">Consent &amp; Permission</t>
  </si>
  <si>
    <t xml:space="preserve">Consent / permission model &amp; API</t>
  </si>
  <si>
    <t xml:space="preserve">Consent</t>
  </si>
  <si>
    <t xml:space="preserve">14</t>
  </si>
  <si>
    <t xml:space="preserve">Permission revocation logic</t>
  </si>
  <si>
    <t xml:space="preserve">Security &amp; Audit</t>
  </si>
  <si>
    <t xml:space="preserve">Encryption in transit &amp; at rest</t>
  </si>
  <si>
    <t xml:space="preserve">Security</t>
  </si>
  <si>
    <t xml:space="preserve">15.1 / 30</t>
  </si>
  <si>
    <t xml:space="preserve">Password hashing / secret management</t>
  </si>
  <si>
    <t xml:space="preserve">15.1</t>
  </si>
  <si>
    <t xml:space="preserve">Server-side authorization enforcement on all endpoints</t>
  </si>
  <si>
    <t xml:space="preserve">15.2 / 30</t>
  </si>
  <si>
    <t xml:space="preserve">Tamper-resistant audit logging service</t>
  </si>
  <si>
    <t xml:space="preserve">15.3 / 30</t>
  </si>
  <si>
    <t xml:space="preserve">Rate limiting &amp; common attack protections</t>
  </si>
  <si>
    <t xml:space="preserve">Data &amp; API Layer</t>
  </si>
  <si>
    <t xml:space="preserve">PostgreSQL schema implementation per data model</t>
  </si>
  <si>
    <t xml:space="preserve">Data/API</t>
  </si>
  <si>
    <t xml:space="preserve">16</t>
  </si>
  <si>
    <t xml:space="preserve">Redis session / cache layer</t>
  </si>
  <si>
    <t xml:space="preserve">19</t>
  </si>
  <si>
    <t xml:space="preserve">REST API implementation (full endpoint set)</t>
  </si>
  <si>
    <t xml:space="preserve">17</t>
  </si>
  <si>
    <t xml:space="preserve">FHIR resource mapping (Patient, Condition, etc.)</t>
  </si>
  <si>
    <t xml:space="preserve">18</t>
  </si>
  <si>
    <t xml:space="preserve">Infra &amp; Observability</t>
  </si>
  <si>
    <t xml:space="preserve">Async task queues (OCR, extraction, notifications)</t>
  </si>
  <si>
    <t xml:space="preserve">Infra</t>
  </si>
  <si>
    <t xml:space="preserve">27</t>
  </si>
  <si>
    <t xml:space="preserve">Independent service scaling setup</t>
  </si>
  <si>
    <t xml:space="preserve">Observability / monitoring (latency, errors, failures)</t>
  </si>
  <si>
    <t xml:space="preserve">26</t>
  </si>
  <si>
    <t xml:space="preserve">Dedicated emergency-workflow alerting</t>
  </si>
  <si>
    <t xml:space="preserve">Acceptance Criterion (PRD §30)</t>
  </si>
  <si>
    <t xml:space="preserve">Notes</t>
  </si>
  <si>
    <t xml:space="preserve">APIs enforce server-side authorization</t>
  </si>
  <si>
    <t xml:space="preserve">Not Tested</t>
  </si>
  <si>
    <t xml:space="preserve">Sensitive data encrypted in transit</t>
  </si>
  <si>
    <t xml:space="preserve">Sensitive data encrypted at rest where applicable</t>
  </si>
  <si>
    <t xml:space="preserve">Authentication tokens/sessions are protected</t>
  </si>
  <si>
    <t xml:space="preserve">Access events are auditable</t>
  </si>
  <si>
    <t xml:space="preserve">Public possession of an emergency QR does not expose the complete medical record</t>
  </si>
  <si>
    <t xml:space="preserve">A PDF/image can be uploaded successfully</t>
  </si>
  <si>
    <t xml:space="preserve">OCR can extract text from supported documents</t>
  </si>
  <si>
    <t xml:space="preserve">Selected medical entities can be extracted</t>
  </si>
  <si>
    <t xml:space="preserve">Each extracted entity has a source reference</t>
  </si>
  <si>
    <t xml:space="preserve">A user can verify/edit extracted information</t>
  </si>
  <si>
    <t xml:space="preserve">Verified information appears in the timeline</t>
  </si>
  <si>
    <t xml:space="preserve">Original documents remain accessible to authorized users</t>
  </si>
  <si>
    <t xml:space="preserve">A patient can configure emergency contacts</t>
  </si>
  <si>
    <t xml:space="preserve">A patient can configure an emergency profile</t>
  </si>
  <si>
    <t xml:space="preserve">Manual SOS can create an emergency event</t>
  </si>
  <si>
    <t xml:space="preserve">System can capture device location when permission/connectivity allow</t>
  </si>
  <si>
    <t xml:space="preserve">Configured contacts receive an emergency notification through implemented channel</t>
  </si>
  <si>
    <t xml:space="preserve">Notification includes timestamp and location when available</t>
  </si>
  <si>
    <t xml:space="preserve">Emergency responders can access emergency profile through authorized workflow</t>
  </si>
  <si>
    <t xml:space="preserve">Emergency access is logged</t>
  </si>
  <si>
    <t xml:space="preserve">Break-glass access, if implemented, records a reason</t>
  </si>
  <si>
    <t xml:space="preserve">Unauthorized users cannot access medical information</t>
  </si>
  <si>
    <t xml:space="preserve">Future Capability (PRD §29)</t>
  </si>
  <si>
    <t xml:space="preserve">Priority (future)</t>
  </si>
  <si>
    <t xml:space="preserve">Hospital information-system integrations</t>
  </si>
  <si>
    <t xml:space="preserve">Laboratory integrations</t>
  </si>
  <si>
    <t xml:space="preserve">Wearable/device integrations</t>
  </si>
  <si>
    <t xml:space="preserve">Advanced accident/fall detection</t>
  </si>
  <si>
    <t xml:space="preserve">More sophisticated emergency routing</t>
  </si>
  <si>
    <t xml:space="preserve">Interoperable FHIR APIs</t>
  </si>
  <si>
    <t xml:space="preserve">Digital identity integration</t>
  </si>
  <si>
    <t xml:space="preserve">Advanced consent management</t>
  </si>
  <si>
    <t xml:space="preserve">Multilingual medical-document processing</t>
  </si>
  <si>
    <t xml:space="preserve">Offline emergency workflows</t>
  </si>
  <si>
    <t xml:space="preserve">Regional/organization-specific emergency policies</t>
  </si>
  <si>
    <t xml:space="preserve">Advanced clinical search</t>
  </si>
  <si>
    <t xml:space="preserve">Medical-record deduplication</t>
  </si>
  <si>
    <t xml:space="preserve">Cross-provider data reconciliation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</si>
</sst>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COUNTA(Frontend!D2:D500)-COUNTBLANK(Frontend!D2:D500)</f>
        <v>-423</v>
      </c>
      <c r="C5" s="5" t="n">
        <f aca="false">COUNTIF(Frontend!D2:D500,"Not Started")</f>
        <v>38</v>
      </c>
      <c r="D5" s="5" t="n">
        <f aca="false">COUNTIF(Frontend!D2:D500,"In Progress")</f>
        <v>0</v>
      </c>
      <c r="E5" s="5" t="n">
        <f aca="false">COUNTIF(Frontend!D2:D500,"Blocked")</f>
        <v>0</v>
      </c>
      <c r="F5" s="5" t="n">
        <f aca="false">COUNTIF(Frontend!D2:D500,"Done")</f>
        <v>0</v>
      </c>
    </row>
    <row r="6" customFormat="false" ht="15" hidden="false" customHeight="false" outlineLevel="0" collapsed="false">
      <c r="A6" s="4" t="s">
        <v>9</v>
      </c>
      <c r="B6" s="5" t="n">
        <f aca="false">COUNTA(Backend!D2:D500)-COUNTBLANK(Backend!D2:D500)</f>
        <v>-405</v>
      </c>
      <c r="C6" s="5" t="n">
        <f aca="false">COUNTIF(Backend!D2:D500,"Not Started")</f>
        <v>47</v>
      </c>
      <c r="D6" s="5" t="n">
        <f aca="false">COUNTIF(Backend!D2:D500,"In Progress")</f>
        <v>0</v>
      </c>
      <c r="E6" s="5" t="n">
        <f aca="false">COUNTIF(Backend!D2:D500,"Blocked")</f>
        <v>0</v>
      </c>
      <c r="F6" s="5" t="n">
        <f aca="false">COUNTIF(Backend!D2:D500,"Done")</f>
        <v>0</v>
      </c>
    </row>
    <row r="7" customFormat="false" ht="15" hidden="false" customHeight="false" outlineLevel="0" collapsed="false">
      <c r="A7" s="6" t="s">
        <v>10</v>
      </c>
      <c r="B7" s="7" t="n">
        <f aca="false">SUM(B5:B6)</f>
        <v>-828</v>
      </c>
      <c r="C7" s="7" t="n">
        <f aca="false">SUM(C5:C6)</f>
        <v>85</v>
      </c>
      <c r="D7" s="7" t="n">
        <f aca="false">SUM(D5:D6)</f>
        <v>0</v>
      </c>
      <c r="E7" s="7" t="n">
        <f aca="false">SUM(E5:E6)</f>
        <v>0</v>
      </c>
      <c r="F7" s="7" t="n">
        <f aca="false">SUM(F5:F6)</f>
        <v>0</v>
      </c>
    </row>
    <row r="9" customFormat="false" ht="15" hidden="false" customHeight="false" outlineLevel="0" collapsed="false">
      <c r="A9" s="8" t="s">
        <v>11</v>
      </c>
      <c r="B9" s="9" t="n">
        <f aca="false">IFERROR(F7/B7,0)</f>
        <v>-0</v>
      </c>
    </row>
    <row r="11" customFormat="false" ht="15" hidden="false" customHeight="false" outlineLevel="0" collapsed="false">
      <c r="A11" s="10" t="s">
        <v>12</v>
      </c>
    </row>
    <row r="12" customFormat="false" ht="15" hidden="false" customHeight="false" outlineLevel="0" collapsed="false">
      <c r="A12" s="11" t="s">
        <v>13</v>
      </c>
    </row>
    <row r="13" customFormat="false" ht="15" hidden="false" customHeight="false" outlineLevel="0" collapsed="false">
      <c r="A13" s="1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 customFormat="false" ht="19.5" hidden="false" customHeight="true" outlineLevel="0" collapsed="false">
      <c r="A2" s="12" t="s">
        <v>22</v>
      </c>
      <c r="B2" s="12"/>
      <c r="C2" s="12"/>
      <c r="D2" s="12"/>
      <c r="E2" s="12"/>
      <c r="F2" s="12"/>
      <c r="G2" s="12"/>
    </row>
    <row r="3" customFormat="false" ht="15" hidden="false" customHeight="false" outlineLevel="0" collapsed="false">
      <c r="A3" s="13" t="s">
        <v>23</v>
      </c>
      <c r="B3" s="14" t="s">
        <v>22</v>
      </c>
      <c r="C3" s="14" t="s">
        <v>24</v>
      </c>
      <c r="D3" s="14" t="s">
        <v>4</v>
      </c>
      <c r="E3" s="14"/>
      <c r="F3" s="14" t="s">
        <v>25</v>
      </c>
      <c r="G3" s="13"/>
    </row>
    <row r="4" customFormat="false" ht="15" hidden="false" customHeight="false" outlineLevel="0" collapsed="false">
      <c r="A4" s="13" t="s">
        <v>26</v>
      </c>
      <c r="B4" s="14" t="s">
        <v>22</v>
      </c>
      <c r="C4" s="14" t="s">
        <v>27</v>
      </c>
      <c r="D4" s="14" t="s">
        <v>4</v>
      </c>
      <c r="E4" s="14"/>
      <c r="F4" s="14" t="s">
        <v>28</v>
      </c>
      <c r="G4" s="13"/>
    </row>
    <row r="5" customFormat="false" ht="15" hidden="false" customHeight="false" outlineLevel="0" collapsed="false">
      <c r="A5" s="13" t="s">
        <v>29</v>
      </c>
      <c r="B5" s="14" t="s">
        <v>22</v>
      </c>
      <c r="C5" s="14" t="s">
        <v>24</v>
      </c>
      <c r="D5" s="14" t="s">
        <v>4</v>
      </c>
      <c r="E5" s="14"/>
      <c r="F5" s="14" t="s">
        <v>30</v>
      </c>
      <c r="G5" s="13"/>
    </row>
    <row r="6" customFormat="false" ht="15" hidden="false" customHeight="false" outlineLevel="0" collapsed="false">
      <c r="A6" s="13" t="s">
        <v>31</v>
      </c>
      <c r="B6" s="14" t="s">
        <v>22</v>
      </c>
      <c r="C6" s="14" t="s">
        <v>27</v>
      </c>
      <c r="D6" s="14" t="s">
        <v>4</v>
      </c>
      <c r="E6" s="14"/>
      <c r="F6" s="14" t="s">
        <v>32</v>
      </c>
      <c r="G6" s="13"/>
    </row>
    <row r="7" customFormat="false" ht="15" hidden="false" customHeight="false" outlineLevel="0" collapsed="false">
      <c r="A7" s="13" t="s">
        <v>33</v>
      </c>
      <c r="B7" s="14" t="s">
        <v>22</v>
      </c>
      <c r="C7" s="14" t="s">
        <v>24</v>
      </c>
      <c r="D7" s="14" t="s">
        <v>4</v>
      </c>
      <c r="E7" s="14"/>
      <c r="F7" s="14" t="s">
        <v>34</v>
      </c>
      <c r="G7" s="13"/>
    </row>
    <row r="8" customFormat="false" ht="15" hidden="false" customHeight="false" outlineLevel="0" collapsed="false">
      <c r="A8" s="13" t="s">
        <v>35</v>
      </c>
      <c r="B8" s="14" t="s">
        <v>22</v>
      </c>
      <c r="C8" s="14" t="s">
        <v>24</v>
      </c>
      <c r="D8" s="14" t="s">
        <v>4</v>
      </c>
      <c r="E8" s="14"/>
      <c r="F8" s="14" t="s">
        <v>36</v>
      </c>
      <c r="G8" s="13"/>
    </row>
    <row r="9" customFormat="false" ht="23.85" hidden="false" customHeight="false" outlineLevel="0" collapsed="false">
      <c r="A9" s="13" t="s">
        <v>37</v>
      </c>
      <c r="B9" s="14" t="s">
        <v>22</v>
      </c>
      <c r="C9" s="14" t="s">
        <v>27</v>
      </c>
      <c r="D9" s="14" t="s">
        <v>4</v>
      </c>
      <c r="E9" s="14"/>
      <c r="F9" s="14" t="s">
        <v>38</v>
      </c>
      <c r="G9" s="13"/>
    </row>
    <row r="10" customFormat="false" ht="15" hidden="false" customHeight="false" outlineLevel="0" collapsed="false">
      <c r="A10" s="13" t="s">
        <v>39</v>
      </c>
      <c r="B10" s="14" t="s">
        <v>22</v>
      </c>
      <c r="C10" s="14" t="s">
        <v>40</v>
      </c>
      <c r="D10" s="14" t="s">
        <v>4</v>
      </c>
      <c r="E10" s="14"/>
      <c r="F10" s="14" t="s">
        <v>41</v>
      </c>
      <c r="G10" s="13"/>
    </row>
    <row r="11" customFormat="false" ht="15" hidden="false" customHeight="false" outlineLevel="0" collapsed="false">
      <c r="A11" s="13" t="s">
        <v>42</v>
      </c>
      <c r="B11" s="14" t="s">
        <v>22</v>
      </c>
      <c r="C11" s="14" t="s">
        <v>24</v>
      </c>
      <c r="D11" s="14" t="s">
        <v>4</v>
      </c>
      <c r="E11" s="14"/>
      <c r="F11" s="14" t="s">
        <v>43</v>
      </c>
      <c r="G11" s="13"/>
    </row>
    <row r="12" customFormat="false" ht="23.85" hidden="false" customHeight="false" outlineLevel="0" collapsed="false">
      <c r="A12" s="13" t="s">
        <v>44</v>
      </c>
      <c r="B12" s="14" t="s">
        <v>22</v>
      </c>
      <c r="C12" s="14" t="s">
        <v>24</v>
      </c>
      <c r="D12" s="14" t="s">
        <v>4</v>
      </c>
      <c r="E12" s="14"/>
      <c r="F12" s="14" t="s">
        <v>45</v>
      </c>
      <c r="G12" s="13"/>
    </row>
    <row r="13" customFormat="false" ht="15" hidden="false" customHeight="false" outlineLevel="0" collapsed="false">
      <c r="A13" s="13" t="s">
        <v>46</v>
      </c>
      <c r="B13" s="14" t="s">
        <v>22</v>
      </c>
      <c r="C13" s="14" t="s">
        <v>27</v>
      </c>
      <c r="D13" s="14" t="s">
        <v>4</v>
      </c>
      <c r="E13" s="14"/>
      <c r="F13" s="14" t="s">
        <v>47</v>
      </c>
      <c r="G13" s="13"/>
    </row>
    <row r="14" customFormat="false" ht="15" hidden="false" customHeight="false" outlineLevel="0" collapsed="false">
      <c r="A14" s="13" t="s">
        <v>48</v>
      </c>
      <c r="B14" s="14" t="s">
        <v>22</v>
      </c>
      <c r="C14" s="14" t="s">
        <v>24</v>
      </c>
      <c r="D14" s="14" t="s">
        <v>4</v>
      </c>
      <c r="E14" s="14"/>
      <c r="F14" s="14" t="s">
        <v>49</v>
      </c>
      <c r="G14" s="13"/>
    </row>
    <row r="15" customFormat="false" ht="15" hidden="false" customHeight="false" outlineLevel="0" collapsed="false">
      <c r="A15" s="13" t="s">
        <v>50</v>
      </c>
      <c r="B15" s="14" t="s">
        <v>22</v>
      </c>
      <c r="C15" s="14" t="s">
        <v>24</v>
      </c>
      <c r="D15" s="14" t="s">
        <v>4</v>
      </c>
      <c r="E15" s="14"/>
      <c r="F15" s="14" t="s">
        <v>51</v>
      </c>
      <c r="G15" s="13"/>
    </row>
    <row r="16" customFormat="false" ht="15" hidden="false" customHeight="false" outlineLevel="0" collapsed="false">
      <c r="A16" s="13" t="s">
        <v>52</v>
      </c>
      <c r="B16" s="14" t="s">
        <v>22</v>
      </c>
      <c r="C16" s="14" t="s">
        <v>24</v>
      </c>
      <c r="D16" s="14" t="s">
        <v>4</v>
      </c>
      <c r="E16" s="14"/>
      <c r="F16" s="14" t="s">
        <v>53</v>
      </c>
      <c r="G16" s="13"/>
    </row>
    <row r="17" customFormat="false" ht="15" hidden="false" customHeight="false" outlineLevel="0" collapsed="false">
      <c r="A17" s="13" t="s">
        <v>54</v>
      </c>
      <c r="B17" s="14" t="s">
        <v>22</v>
      </c>
      <c r="C17" s="14" t="s">
        <v>27</v>
      </c>
      <c r="D17" s="14" t="s">
        <v>4</v>
      </c>
      <c r="E17" s="14"/>
      <c r="F17" s="14" t="s">
        <v>55</v>
      </c>
      <c r="G17" s="13"/>
    </row>
    <row r="18" customFormat="false" ht="15" hidden="false" customHeight="false" outlineLevel="0" collapsed="false">
      <c r="A18" s="13" t="s">
        <v>56</v>
      </c>
      <c r="B18" s="14" t="s">
        <v>22</v>
      </c>
      <c r="C18" s="14" t="s">
        <v>27</v>
      </c>
      <c r="D18" s="14" t="s">
        <v>4</v>
      </c>
      <c r="E18" s="14"/>
      <c r="F18" s="14" t="s">
        <v>28</v>
      </c>
      <c r="G18" s="13"/>
    </row>
    <row r="19" customFormat="false" ht="19.5" hidden="false" customHeight="true" outlineLevel="0" collapsed="false">
      <c r="A19" s="12" t="s">
        <v>57</v>
      </c>
      <c r="B19" s="12"/>
      <c r="C19" s="12"/>
      <c r="D19" s="12"/>
      <c r="E19" s="12"/>
      <c r="F19" s="12"/>
      <c r="G19" s="12"/>
    </row>
    <row r="20" customFormat="false" ht="15" hidden="false" customHeight="false" outlineLevel="0" collapsed="false">
      <c r="A20" s="13" t="s">
        <v>58</v>
      </c>
      <c r="B20" s="14" t="s">
        <v>57</v>
      </c>
      <c r="C20" s="14" t="s">
        <v>24</v>
      </c>
      <c r="D20" s="14" t="s">
        <v>4</v>
      </c>
      <c r="E20" s="14"/>
      <c r="F20" s="14" t="s">
        <v>59</v>
      </c>
      <c r="G20" s="13"/>
    </row>
    <row r="21" customFormat="false" ht="15" hidden="false" customHeight="false" outlineLevel="0" collapsed="false">
      <c r="A21" s="13" t="s">
        <v>60</v>
      </c>
      <c r="B21" s="14" t="s">
        <v>57</v>
      </c>
      <c r="C21" s="14" t="s">
        <v>24</v>
      </c>
      <c r="D21" s="14" t="s">
        <v>4</v>
      </c>
      <c r="E21" s="14"/>
      <c r="F21" s="14" t="s">
        <v>61</v>
      </c>
      <c r="G21" s="13"/>
    </row>
    <row r="22" customFormat="false" ht="15" hidden="false" customHeight="false" outlineLevel="0" collapsed="false">
      <c r="A22" s="13" t="s">
        <v>62</v>
      </c>
      <c r="B22" s="14" t="s">
        <v>57</v>
      </c>
      <c r="C22" s="14" t="s">
        <v>24</v>
      </c>
      <c r="D22" s="14" t="s">
        <v>4</v>
      </c>
      <c r="E22" s="14"/>
      <c r="F22" s="14" t="s">
        <v>63</v>
      </c>
      <c r="G22" s="13"/>
    </row>
    <row r="23" customFormat="false" ht="15" hidden="false" customHeight="false" outlineLevel="0" collapsed="false">
      <c r="A23" s="13" t="s">
        <v>64</v>
      </c>
      <c r="B23" s="14" t="s">
        <v>57</v>
      </c>
      <c r="C23" s="14" t="s">
        <v>24</v>
      </c>
      <c r="D23" s="14" t="s">
        <v>4</v>
      </c>
      <c r="E23" s="14"/>
      <c r="F23" s="14" t="s">
        <v>36</v>
      </c>
      <c r="G23" s="13"/>
    </row>
    <row r="24" customFormat="false" ht="15" hidden="false" customHeight="false" outlineLevel="0" collapsed="false">
      <c r="A24" s="13" t="s">
        <v>65</v>
      </c>
      <c r="B24" s="14" t="s">
        <v>57</v>
      </c>
      <c r="C24" s="14" t="s">
        <v>27</v>
      </c>
      <c r="D24" s="14" t="s">
        <v>4</v>
      </c>
      <c r="E24" s="14"/>
      <c r="F24" s="14" t="s">
        <v>61</v>
      </c>
      <c r="G24" s="13"/>
    </row>
    <row r="25" customFormat="false" ht="15" hidden="false" customHeight="false" outlineLevel="0" collapsed="false">
      <c r="A25" s="13" t="s">
        <v>66</v>
      </c>
      <c r="B25" s="14" t="s">
        <v>57</v>
      </c>
      <c r="C25" s="14" t="s">
        <v>24</v>
      </c>
      <c r="D25" s="14" t="s">
        <v>4</v>
      </c>
      <c r="E25" s="14"/>
      <c r="F25" s="14" t="s">
        <v>61</v>
      </c>
      <c r="G25" s="13"/>
    </row>
    <row r="26" customFormat="false" ht="15" hidden="false" customHeight="false" outlineLevel="0" collapsed="false">
      <c r="A26" s="13" t="s">
        <v>67</v>
      </c>
      <c r="B26" s="14" t="s">
        <v>57</v>
      </c>
      <c r="C26" s="14" t="s">
        <v>27</v>
      </c>
      <c r="D26" s="14" t="s">
        <v>4</v>
      </c>
      <c r="E26" s="14"/>
      <c r="F26" s="14" t="s">
        <v>68</v>
      </c>
      <c r="G26" s="13"/>
    </row>
    <row r="27" customFormat="false" ht="15" hidden="false" customHeight="false" outlineLevel="0" collapsed="false">
      <c r="A27" s="13" t="s">
        <v>69</v>
      </c>
      <c r="B27" s="14" t="s">
        <v>57</v>
      </c>
      <c r="C27" s="14" t="s">
        <v>40</v>
      </c>
      <c r="D27" s="14" t="s">
        <v>4</v>
      </c>
      <c r="E27" s="14"/>
      <c r="F27" s="14" t="s">
        <v>41</v>
      </c>
      <c r="G27" s="13"/>
    </row>
    <row r="28" customFormat="false" ht="19.5" hidden="false" customHeight="true" outlineLevel="0" collapsed="false">
      <c r="A28" s="12" t="s">
        <v>70</v>
      </c>
      <c r="B28" s="12"/>
      <c r="C28" s="12"/>
      <c r="D28" s="12"/>
      <c r="E28" s="12"/>
      <c r="F28" s="12"/>
      <c r="G28" s="12"/>
    </row>
    <row r="29" customFormat="false" ht="15" hidden="false" customHeight="false" outlineLevel="0" collapsed="false">
      <c r="A29" s="13" t="s">
        <v>71</v>
      </c>
      <c r="B29" s="14" t="s">
        <v>70</v>
      </c>
      <c r="C29" s="14" t="s">
        <v>24</v>
      </c>
      <c r="D29" s="14" t="s">
        <v>4</v>
      </c>
      <c r="E29" s="14"/>
      <c r="F29" s="14" t="s">
        <v>72</v>
      </c>
      <c r="G29" s="13"/>
    </row>
    <row r="30" customFormat="false" ht="15" hidden="false" customHeight="false" outlineLevel="0" collapsed="false">
      <c r="A30" s="13" t="s">
        <v>73</v>
      </c>
      <c r="B30" s="14" t="s">
        <v>70</v>
      </c>
      <c r="C30" s="14" t="s">
        <v>24</v>
      </c>
      <c r="D30" s="14" t="s">
        <v>4</v>
      </c>
      <c r="E30" s="14"/>
      <c r="F30" s="14" t="s">
        <v>51</v>
      </c>
      <c r="G30" s="13"/>
    </row>
    <row r="31" customFormat="false" ht="15" hidden="false" customHeight="false" outlineLevel="0" collapsed="false">
      <c r="A31" s="13" t="s">
        <v>74</v>
      </c>
      <c r="B31" s="14" t="s">
        <v>70</v>
      </c>
      <c r="C31" s="14" t="s">
        <v>24</v>
      </c>
      <c r="D31" s="14" t="s">
        <v>4</v>
      </c>
      <c r="E31" s="14"/>
      <c r="F31" s="14" t="s">
        <v>43</v>
      </c>
      <c r="G31" s="13"/>
    </row>
    <row r="32" customFormat="false" ht="15" hidden="false" customHeight="false" outlineLevel="0" collapsed="false">
      <c r="A32" s="13" t="s">
        <v>75</v>
      </c>
      <c r="B32" s="14" t="s">
        <v>70</v>
      </c>
      <c r="C32" s="14" t="s">
        <v>27</v>
      </c>
      <c r="D32" s="14" t="s">
        <v>4</v>
      </c>
      <c r="E32" s="14"/>
      <c r="F32" s="14" t="s">
        <v>76</v>
      </c>
      <c r="G32" s="13"/>
    </row>
    <row r="33" customFormat="false" ht="15" hidden="false" customHeight="false" outlineLevel="0" collapsed="false">
      <c r="A33" s="13" t="s">
        <v>77</v>
      </c>
      <c r="B33" s="14" t="s">
        <v>70</v>
      </c>
      <c r="C33" s="14" t="s">
        <v>40</v>
      </c>
      <c r="D33" s="14" t="s">
        <v>4</v>
      </c>
      <c r="E33" s="14"/>
      <c r="F33" s="14" t="s">
        <v>78</v>
      </c>
      <c r="G33" s="13"/>
    </row>
    <row r="34" customFormat="false" ht="15" hidden="false" customHeight="false" outlineLevel="0" collapsed="false">
      <c r="A34" s="13" t="s">
        <v>79</v>
      </c>
      <c r="B34" s="14" t="s">
        <v>70</v>
      </c>
      <c r="C34" s="14" t="s">
        <v>40</v>
      </c>
      <c r="D34" s="14" t="s">
        <v>4</v>
      </c>
      <c r="E34" s="14"/>
      <c r="F34" s="14" t="s">
        <v>78</v>
      </c>
      <c r="G34" s="13"/>
    </row>
    <row r="35" customFormat="false" ht="19.5" hidden="false" customHeight="true" outlineLevel="0" collapsed="false">
      <c r="A35" s="12" t="s">
        <v>80</v>
      </c>
      <c r="B35" s="12"/>
      <c r="C35" s="12"/>
      <c r="D35" s="12"/>
      <c r="E35" s="12"/>
      <c r="F35" s="12"/>
      <c r="G35" s="12"/>
    </row>
    <row r="36" customFormat="false" ht="15" hidden="false" customHeight="false" outlineLevel="0" collapsed="false">
      <c r="A36" s="13" t="s">
        <v>81</v>
      </c>
      <c r="B36" s="14" t="s">
        <v>80</v>
      </c>
      <c r="C36" s="14" t="s">
        <v>40</v>
      </c>
      <c r="D36" s="14" t="s">
        <v>4</v>
      </c>
      <c r="E36" s="14"/>
      <c r="F36" s="14" t="s">
        <v>82</v>
      </c>
      <c r="G36" s="13"/>
    </row>
    <row r="37" customFormat="false" ht="15" hidden="false" customHeight="false" outlineLevel="0" collapsed="false">
      <c r="A37" s="13" t="s">
        <v>83</v>
      </c>
      <c r="B37" s="14" t="s">
        <v>80</v>
      </c>
      <c r="C37" s="14" t="s">
        <v>40</v>
      </c>
      <c r="D37" s="14" t="s">
        <v>4</v>
      </c>
      <c r="E37" s="14"/>
      <c r="F37" s="14" t="s">
        <v>82</v>
      </c>
      <c r="G37" s="13"/>
    </row>
    <row r="38" customFormat="false" ht="15" hidden="false" customHeight="false" outlineLevel="0" collapsed="false">
      <c r="A38" s="13" t="s">
        <v>84</v>
      </c>
      <c r="B38" s="14" t="s">
        <v>80</v>
      </c>
      <c r="C38" s="14" t="s">
        <v>40</v>
      </c>
      <c r="D38" s="14" t="s">
        <v>4</v>
      </c>
      <c r="E38" s="14"/>
      <c r="F38" s="14" t="s">
        <v>85</v>
      </c>
      <c r="G38" s="13"/>
    </row>
    <row r="39" customFormat="false" ht="15" hidden="false" customHeight="false" outlineLevel="0" collapsed="false">
      <c r="A39" s="13" t="s">
        <v>86</v>
      </c>
      <c r="B39" s="14" t="s">
        <v>80</v>
      </c>
      <c r="C39" s="14" t="s">
        <v>27</v>
      </c>
      <c r="D39" s="14" t="s">
        <v>4</v>
      </c>
      <c r="E39" s="14"/>
      <c r="F39" s="14" t="s">
        <v>87</v>
      </c>
      <c r="G39" s="13"/>
    </row>
    <row r="40" customFormat="false" ht="19.5" hidden="false" customHeight="true" outlineLevel="0" collapsed="false">
      <c r="A40" s="12" t="s">
        <v>88</v>
      </c>
      <c r="B40" s="12"/>
      <c r="C40" s="12"/>
      <c r="D40" s="12"/>
      <c r="E40" s="12"/>
      <c r="F40" s="12"/>
      <c r="G40" s="12"/>
    </row>
    <row r="41" customFormat="false" ht="15" hidden="false" customHeight="false" outlineLevel="0" collapsed="false">
      <c r="A41" s="13" t="s">
        <v>89</v>
      </c>
      <c r="B41" s="14" t="s">
        <v>90</v>
      </c>
      <c r="C41" s="14" t="s">
        <v>24</v>
      </c>
      <c r="D41" s="14" t="s">
        <v>4</v>
      </c>
      <c r="E41" s="14"/>
      <c r="F41" s="14" t="s">
        <v>91</v>
      </c>
      <c r="G41" s="13"/>
    </row>
    <row r="42" customFormat="false" ht="15" hidden="false" customHeight="false" outlineLevel="0" collapsed="false">
      <c r="A42" s="13" t="s">
        <v>92</v>
      </c>
      <c r="B42" s="14" t="s">
        <v>90</v>
      </c>
      <c r="C42" s="14" t="s">
        <v>27</v>
      </c>
      <c r="D42" s="14" t="s">
        <v>4</v>
      </c>
      <c r="E42" s="14"/>
      <c r="F42" s="14" t="s">
        <v>91</v>
      </c>
      <c r="G42" s="13"/>
    </row>
    <row r="43" customFormat="false" ht="15" hidden="false" customHeight="false" outlineLevel="0" collapsed="false">
      <c r="A43" s="13" t="s">
        <v>93</v>
      </c>
      <c r="B43" s="14" t="s">
        <v>90</v>
      </c>
      <c r="C43" s="14" t="s">
        <v>24</v>
      </c>
      <c r="D43" s="14" t="s">
        <v>4</v>
      </c>
      <c r="E43" s="14"/>
      <c r="F43" s="14" t="s">
        <v>94</v>
      </c>
      <c r="G43" s="13"/>
    </row>
    <row r="44" customFormat="false" ht="23.85" hidden="false" customHeight="false" outlineLevel="0" collapsed="false">
      <c r="A44" s="13" t="s">
        <v>95</v>
      </c>
      <c r="B44" s="14" t="s">
        <v>90</v>
      </c>
      <c r="C44" s="14" t="s">
        <v>27</v>
      </c>
      <c r="D44" s="14" t="s">
        <v>4</v>
      </c>
      <c r="E44" s="14"/>
      <c r="F44" s="14" t="s">
        <v>96</v>
      </c>
      <c r="G44" s="13"/>
    </row>
  </sheetData>
  <mergeCells count="5">
    <mergeCell ref="A2:G2"/>
    <mergeCell ref="A19:G19"/>
    <mergeCell ref="A28:G28"/>
    <mergeCell ref="A35:G35"/>
    <mergeCell ref="A40:G40"/>
  </mergeCells>
  <dataValidations count="2">
    <dataValidation allowBlank="true" errorStyle="stop" operator="between" showDropDown="false" showErrorMessage="false" showInputMessage="false" sqref="D3:D18 D20:D27 D29:D34 D36:D39 D41:D44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C3:C18 C20:C27 C29:C34 C36:C39 C41:C44" type="list">
      <formula1>"P0,P1,P2"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 customFormat="false" ht="19.5" hidden="false" customHeight="true" outlineLevel="0" collapsed="false">
      <c r="A2" s="12" t="s">
        <v>97</v>
      </c>
      <c r="B2" s="12"/>
      <c r="C2" s="12"/>
      <c r="D2" s="12"/>
      <c r="E2" s="12"/>
      <c r="F2" s="12"/>
      <c r="G2" s="12"/>
    </row>
    <row r="3" customFormat="false" ht="15" hidden="false" customHeight="false" outlineLevel="0" collapsed="false">
      <c r="A3" s="13" t="s">
        <v>98</v>
      </c>
      <c r="B3" s="14" t="s">
        <v>99</v>
      </c>
      <c r="C3" s="14" t="s">
        <v>24</v>
      </c>
      <c r="D3" s="14" t="s">
        <v>4</v>
      </c>
      <c r="E3" s="14"/>
      <c r="F3" s="14" t="s">
        <v>25</v>
      </c>
      <c r="G3" s="13"/>
    </row>
    <row r="4" customFormat="false" ht="15" hidden="false" customHeight="false" outlineLevel="0" collapsed="false">
      <c r="A4" s="13" t="s">
        <v>100</v>
      </c>
      <c r="B4" s="14" t="s">
        <v>99</v>
      </c>
      <c r="C4" s="14" t="s">
        <v>24</v>
      </c>
      <c r="D4" s="14" t="s">
        <v>4</v>
      </c>
      <c r="E4" s="14"/>
      <c r="F4" s="14" t="s">
        <v>59</v>
      </c>
      <c r="G4" s="13"/>
    </row>
    <row r="5" customFormat="false" ht="15" hidden="false" customHeight="false" outlineLevel="0" collapsed="false">
      <c r="A5" s="13" t="s">
        <v>101</v>
      </c>
      <c r="B5" s="14" t="s">
        <v>99</v>
      </c>
      <c r="C5" s="14" t="s">
        <v>24</v>
      </c>
      <c r="D5" s="14" t="s">
        <v>4</v>
      </c>
      <c r="E5" s="14"/>
      <c r="F5" s="14" t="s">
        <v>102</v>
      </c>
      <c r="G5" s="13"/>
    </row>
    <row r="6" customFormat="false" ht="15" hidden="false" customHeight="false" outlineLevel="0" collapsed="false">
      <c r="A6" s="13" t="s">
        <v>103</v>
      </c>
      <c r="B6" s="14" t="s">
        <v>99</v>
      </c>
      <c r="C6" s="14" t="s">
        <v>27</v>
      </c>
      <c r="D6" s="14" t="s">
        <v>4</v>
      </c>
      <c r="E6" s="14"/>
      <c r="F6" s="14" t="s">
        <v>59</v>
      </c>
      <c r="G6" s="13"/>
    </row>
    <row r="7" customFormat="false" ht="15" hidden="false" customHeight="false" outlineLevel="0" collapsed="false">
      <c r="A7" s="13" t="s">
        <v>104</v>
      </c>
      <c r="B7" s="14" t="s">
        <v>99</v>
      </c>
      <c r="C7" s="14" t="s">
        <v>27</v>
      </c>
      <c r="D7" s="14" t="s">
        <v>4</v>
      </c>
      <c r="E7" s="14"/>
      <c r="F7" s="14" t="s">
        <v>59</v>
      </c>
      <c r="G7" s="13"/>
    </row>
    <row r="8" customFormat="false" ht="15" hidden="false" customHeight="false" outlineLevel="0" collapsed="false">
      <c r="A8" s="13" t="s">
        <v>105</v>
      </c>
      <c r="B8" s="14" t="s">
        <v>99</v>
      </c>
      <c r="C8" s="14" t="s">
        <v>24</v>
      </c>
      <c r="D8" s="14" t="s">
        <v>4</v>
      </c>
      <c r="E8" s="14"/>
      <c r="F8" s="14" t="s">
        <v>59</v>
      </c>
      <c r="G8" s="13"/>
    </row>
    <row r="9" customFormat="false" ht="19.5" hidden="false" customHeight="true" outlineLevel="0" collapsed="false">
      <c r="A9" s="12" t="s">
        <v>106</v>
      </c>
      <c r="B9" s="12"/>
      <c r="C9" s="12"/>
      <c r="D9" s="12"/>
      <c r="E9" s="12"/>
      <c r="F9" s="12"/>
      <c r="G9" s="12"/>
    </row>
    <row r="10" customFormat="false" ht="15" hidden="false" customHeight="false" outlineLevel="0" collapsed="false">
      <c r="A10" s="13" t="s">
        <v>107</v>
      </c>
      <c r="B10" s="14" t="s">
        <v>108</v>
      </c>
      <c r="C10" s="14" t="s">
        <v>24</v>
      </c>
      <c r="D10" s="14" t="s">
        <v>4</v>
      </c>
      <c r="E10" s="14"/>
      <c r="F10" s="14" t="s">
        <v>109</v>
      </c>
      <c r="G10" s="13"/>
    </row>
    <row r="11" customFormat="false" ht="15" hidden="false" customHeight="false" outlineLevel="0" collapsed="false">
      <c r="A11" s="13" t="s">
        <v>110</v>
      </c>
      <c r="B11" s="14" t="s">
        <v>108</v>
      </c>
      <c r="C11" s="14" t="s">
        <v>27</v>
      </c>
      <c r="D11" s="14" t="s">
        <v>4</v>
      </c>
      <c r="E11" s="14"/>
      <c r="F11" s="14" t="s">
        <v>32</v>
      </c>
      <c r="G11" s="13"/>
    </row>
    <row r="12" customFormat="false" ht="15" hidden="false" customHeight="false" outlineLevel="0" collapsed="false">
      <c r="A12" s="13" t="s">
        <v>111</v>
      </c>
      <c r="B12" s="14" t="s">
        <v>108</v>
      </c>
      <c r="C12" s="14" t="s">
        <v>24</v>
      </c>
      <c r="D12" s="14" t="s">
        <v>4</v>
      </c>
      <c r="E12" s="14"/>
      <c r="F12" s="14" t="s">
        <v>112</v>
      </c>
      <c r="G12" s="13"/>
    </row>
    <row r="13" customFormat="false" ht="15" hidden="false" customHeight="false" outlineLevel="0" collapsed="false">
      <c r="A13" s="13" t="s">
        <v>113</v>
      </c>
      <c r="B13" s="14" t="s">
        <v>108</v>
      </c>
      <c r="C13" s="14" t="s">
        <v>27</v>
      </c>
      <c r="D13" s="14" t="s">
        <v>4</v>
      </c>
      <c r="E13" s="14"/>
      <c r="F13" s="14" t="s">
        <v>32</v>
      </c>
      <c r="G13" s="13"/>
    </row>
    <row r="14" customFormat="false" ht="15" hidden="false" customHeight="false" outlineLevel="0" collapsed="false">
      <c r="A14" s="13" t="s">
        <v>114</v>
      </c>
      <c r="B14" s="14" t="s">
        <v>108</v>
      </c>
      <c r="C14" s="14" t="s">
        <v>24</v>
      </c>
      <c r="D14" s="14" t="s">
        <v>4</v>
      </c>
      <c r="E14" s="14"/>
      <c r="F14" s="14" t="s">
        <v>115</v>
      </c>
      <c r="G14" s="13"/>
    </row>
    <row r="15" customFormat="false" ht="19.5" hidden="false" customHeight="true" outlineLevel="0" collapsed="false">
      <c r="A15" s="12" t="s">
        <v>116</v>
      </c>
      <c r="B15" s="12"/>
      <c r="C15" s="12"/>
      <c r="D15" s="12"/>
      <c r="E15" s="12"/>
      <c r="F15" s="12"/>
      <c r="G15" s="12"/>
    </row>
    <row r="16" customFormat="false" ht="15" hidden="false" customHeight="false" outlineLevel="0" collapsed="false">
      <c r="A16" s="13" t="s">
        <v>117</v>
      </c>
      <c r="B16" s="14" t="s">
        <v>118</v>
      </c>
      <c r="C16" s="14" t="s">
        <v>24</v>
      </c>
      <c r="D16" s="14" t="s">
        <v>4</v>
      </c>
      <c r="E16" s="14"/>
      <c r="F16" s="14" t="s">
        <v>119</v>
      </c>
      <c r="G16" s="13"/>
    </row>
    <row r="17" customFormat="false" ht="15" hidden="false" customHeight="false" outlineLevel="0" collapsed="false">
      <c r="A17" s="13" t="s">
        <v>120</v>
      </c>
      <c r="B17" s="14" t="s">
        <v>118</v>
      </c>
      <c r="C17" s="14" t="s">
        <v>27</v>
      </c>
      <c r="D17" s="14" t="s">
        <v>4</v>
      </c>
      <c r="E17" s="14"/>
      <c r="F17" s="14" t="s">
        <v>68</v>
      </c>
      <c r="G17" s="13"/>
    </row>
    <row r="18" customFormat="false" ht="15" hidden="false" customHeight="false" outlineLevel="0" collapsed="false">
      <c r="A18" s="13" t="s">
        <v>121</v>
      </c>
      <c r="B18" s="14" t="s">
        <v>118</v>
      </c>
      <c r="C18" s="14" t="s">
        <v>27</v>
      </c>
      <c r="D18" s="14" t="s">
        <v>4</v>
      </c>
      <c r="E18" s="14"/>
      <c r="F18" s="14" t="s">
        <v>122</v>
      </c>
      <c r="G18" s="13"/>
    </row>
    <row r="19" customFormat="false" ht="15" hidden="false" customHeight="false" outlineLevel="0" collapsed="false">
      <c r="A19" s="13" t="s">
        <v>123</v>
      </c>
      <c r="B19" s="14" t="s">
        <v>118</v>
      </c>
      <c r="C19" s="14" t="s">
        <v>24</v>
      </c>
      <c r="D19" s="14" t="s">
        <v>4</v>
      </c>
      <c r="E19" s="14"/>
      <c r="F19" s="14" t="s">
        <v>124</v>
      </c>
      <c r="G19" s="13"/>
    </row>
    <row r="20" customFormat="false" ht="23.85" hidden="false" customHeight="false" outlineLevel="0" collapsed="false">
      <c r="A20" s="13" t="s">
        <v>125</v>
      </c>
      <c r="B20" s="14" t="s">
        <v>118</v>
      </c>
      <c r="C20" s="14" t="s">
        <v>24</v>
      </c>
      <c r="D20" s="14" t="s">
        <v>4</v>
      </c>
      <c r="E20" s="14"/>
      <c r="F20" s="14" t="s">
        <v>122</v>
      </c>
      <c r="G20" s="13"/>
    </row>
    <row r="21" customFormat="false" ht="19.5" hidden="false" customHeight="true" outlineLevel="0" collapsed="false">
      <c r="A21" s="12" t="s">
        <v>126</v>
      </c>
      <c r="B21" s="12"/>
      <c r="C21" s="12"/>
      <c r="D21" s="12"/>
      <c r="E21" s="12"/>
      <c r="F21" s="12"/>
      <c r="G21" s="12"/>
    </row>
    <row r="22" customFormat="false" ht="23.85" hidden="false" customHeight="false" outlineLevel="0" collapsed="false">
      <c r="A22" s="13" t="s">
        <v>127</v>
      </c>
      <c r="B22" s="14" t="s">
        <v>128</v>
      </c>
      <c r="C22" s="14" t="s">
        <v>24</v>
      </c>
      <c r="D22" s="14" t="s">
        <v>4</v>
      </c>
      <c r="E22" s="14"/>
      <c r="F22" s="14" t="s">
        <v>129</v>
      </c>
      <c r="G22" s="13"/>
    </row>
    <row r="23" customFormat="false" ht="15" hidden="false" customHeight="false" outlineLevel="0" collapsed="false">
      <c r="A23" s="13" t="s">
        <v>130</v>
      </c>
      <c r="B23" s="14" t="s">
        <v>128</v>
      </c>
      <c r="C23" s="14" t="s">
        <v>24</v>
      </c>
      <c r="D23" s="14" t="s">
        <v>4</v>
      </c>
      <c r="E23" s="14"/>
      <c r="F23" s="14" t="s">
        <v>36</v>
      </c>
      <c r="G23" s="13"/>
    </row>
    <row r="24" customFormat="false" ht="15" hidden="false" customHeight="false" outlineLevel="0" collapsed="false">
      <c r="A24" s="13" t="s">
        <v>131</v>
      </c>
      <c r="B24" s="14" t="s">
        <v>128</v>
      </c>
      <c r="C24" s="14" t="s">
        <v>27</v>
      </c>
      <c r="D24" s="14" t="s">
        <v>4</v>
      </c>
      <c r="E24" s="14"/>
      <c r="F24" s="14" t="s">
        <v>38</v>
      </c>
      <c r="G24" s="13"/>
    </row>
    <row r="25" customFormat="false" ht="23.85" hidden="false" customHeight="false" outlineLevel="0" collapsed="false">
      <c r="A25" s="13" t="s">
        <v>132</v>
      </c>
      <c r="B25" s="14" t="s">
        <v>128</v>
      </c>
      <c r="C25" s="14" t="s">
        <v>40</v>
      </c>
      <c r="D25" s="14" t="s">
        <v>4</v>
      </c>
      <c r="E25" s="14"/>
      <c r="F25" s="14" t="s">
        <v>133</v>
      </c>
      <c r="G25" s="13"/>
    </row>
    <row r="26" customFormat="false" ht="19.5" hidden="false" customHeight="true" outlineLevel="0" collapsed="false">
      <c r="A26" s="12" t="s">
        <v>134</v>
      </c>
      <c r="B26" s="12"/>
      <c r="C26" s="12"/>
      <c r="D26" s="12"/>
      <c r="E26" s="12"/>
      <c r="F26" s="12"/>
      <c r="G26" s="12"/>
    </row>
    <row r="27" customFormat="false" ht="15" hidden="false" customHeight="false" outlineLevel="0" collapsed="false">
      <c r="A27" s="13" t="s">
        <v>135</v>
      </c>
      <c r="B27" s="14" t="s">
        <v>136</v>
      </c>
      <c r="C27" s="14" t="s">
        <v>24</v>
      </c>
      <c r="D27" s="14" t="s">
        <v>4</v>
      </c>
      <c r="E27" s="14"/>
      <c r="F27" s="14" t="s">
        <v>137</v>
      </c>
      <c r="G27" s="13"/>
    </row>
    <row r="28" customFormat="false" ht="15" hidden="false" customHeight="false" outlineLevel="0" collapsed="false">
      <c r="A28" s="13" t="s">
        <v>138</v>
      </c>
      <c r="B28" s="14" t="s">
        <v>136</v>
      </c>
      <c r="C28" s="14" t="s">
        <v>24</v>
      </c>
      <c r="D28" s="14" t="s">
        <v>4</v>
      </c>
      <c r="E28" s="14"/>
      <c r="F28" s="14" t="s">
        <v>139</v>
      </c>
      <c r="G28" s="13"/>
    </row>
    <row r="29" customFormat="false" ht="15" hidden="false" customHeight="false" outlineLevel="0" collapsed="false">
      <c r="A29" s="13" t="s">
        <v>140</v>
      </c>
      <c r="B29" s="14" t="s">
        <v>136</v>
      </c>
      <c r="C29" s="14" t="s">
        <v>40</v>
      </c>
      <c r="D29" s="14" t="s">
        <v>4</v>
      </c>
      <c r="E29" s="14"/>
      <c r="F29" s="14" t="s">
        <v>141</v>
      </c>
      <c r="G29" s="13"/>
    </row>
    <row r="30" customFormat="false" ht="15" hidden="false" customHeight="false" outlineLevel="0" collapsed="false">
      <c r="A30" s="13" t="s">
        <v>142</v>
      </c>
      <c r="B30" s="14" t="s">
        <v>136</v>
      </c>
      <c r="C30" s="14" t="s">
        <v>27</v>
      </c>
      <c r="D30" s="14" t="s">
        <v>4</v>
      </c>
      <c r="E30" s="14"/>
      <c r="F30" s="14" t="s">
        <v>143</v>
      </c>
      <c r="G30" s="13"/>
    </row>
    <row r="31" customFormat="false" ht="15" hidden="false" customHeight="false" outlineLevel="0" collapsed="false">
      <c r="A31" s="13" t="s">
        <v>144</v>
      </c>
      <c r="B31" s="14" t="s">
        <v>136</v>
      </c>
      <c r="C31" s="14" t="s">
        <v>27</v>
      </c>
      <c r="D31" s="14" t="s">
        <v>4</v>
      </c>
      <c r="E31" s="14"/>
      <c r="F31" s="14" t="s">
        <v>145</v>
      </c>
      <c r="G31" s="13"/>
    </row>
    <row r="32" customFormat="false" ht="19.5" hidden="false" customHeight="true" outlineLevel="0" collapsed="false">
      <c r="A32" s="12" t="s">
        <v>146</v>
      </c>
      <c r="B32" s="12"/>
      <c r="C32" s="12"/>
      <c r="D32" s="12"/>
      <c r="E32" s="12"/>
      <c r="F32" s="12"/>
      <c r="G32" s="12"/>
    </row>
    <row r="33" customFormat="false" ht="15" hidden="false" customHeight="false" outlineLevel="0" collapsed="false">
      <c r="A33" s="13" t="s">
        <v>147</v>
      </c>
      <c r="B33" s="14" t="s">
        <v>148</v>
      </c>
      <c r="C33" s="14" t="s">
        <v>24</v>
      </c>
      <c r="D33" s="14" t="s">
        <v>4</v>
      </c>
      <c r="E33" s="14"/>
      <c r="F33" s="14" t="s">
        <v>149</v>
      </c>
      <c r="G33" s="13"/>
    </row>
    <row r="34" customFormat="false" ht="15" hidden="false" customHeight="false" outlineLevel="0" collapsed="false">
      <c r="A34" s="13" t="s">
        <v>150</v>
      </c>
      <c r="B34" s="14" t="s">
        <v>148</v>
      </c>
      <c r="C34" s="14" t="s">
        <v>24</v>
      </c>
      <c r="D34" s="14" t="s">
        <v>4</v>
      </c>
      <c r="E34" s="14"/>
      <c r="F34" s="14" t="s">
        <v>151</v>
      </c>
      <c r="G34" s="13"/>
    </row>
    <row r="35" customFormat="false" ht="15" hidden="false" customHeight="false" outlineLevel="0" collapsed="false">
      <c r="A35" s="13" t="s">
        <v>152</v>
      </c>
      <c r="B35" s="14" t="s">
        <v>148</v>
      </c>
      <c r="C35" s="14" t="s">
        <v>27</v>
      </c>
      <c r="D35" s="14" t="s">
        <v>4</v>
      </c>
      <c r="E35" s="14"/>
      <c r="F35" s="14" t="s">
        <v>153</v>
      </c>
      <c r="G35" s="13"/>
    </row>
    <row r="36" customFormat="false" ht="19.5" hidden="false" customHeight="true" outlineLevel="0" collapsed="false">
      <c r="A36" s="12" t="s">
        <v>154</v>
      </c>
      <c r="B36" s="12"/>
      <c r="C36" s="12"/>
      <c r="D36" s="12"/>
      <c r="E36" s="12"/>
      <c r="F36" s="12"/>
      <c r="G36" s="12"/>
    </row>
    <row r="37" customFormat="false" ht="15" hidden="false" customHeight="false" outlineLevel="0" collapsed="false">
      <c r="A37" s="13" t="s">
        <v>155</v>
      </c>
      <c r="B37" s="14" t="s">
        <v>156</v>
      </c>
      <c r="C37" s="14" t="s">
        <v>24</v>
      </c>
      <c r="D37" s="14" t="s">
        <v>4</v>
      </c>
      <c r="E37" s="14"/>
      <c r="F37" s="14" t="s">
        <v>157</v>
      </c>
      <c r="G37" s="13"/>
    </row>
    <row r="38" customFormat="false" ht="15" hidden="false" customHeight="false" outlineLevel="0" collapsed="false">
      <c r="A38" s="13" t="s">
        <v>158</v>
      </c>
      <c r="B38" s="14" t="s">
        <v>156</v>
      </c>
      <c r="C38" s="14" t="s">
        <v>27</v>
      </c>
      <c r="D38" s="14" t="s">
        <v>4</v>
      </c>
      <c r="E38" s="14"/>
      <c r="F38" s="14" t="s">
        <v>159</v>
      </c>
      <c r="G38" s="13"/>
    </row>
    <row r="39" customFormat="false" ht="15" hidden="false" customHeight="false" outlineLevel="0" collapsed="false">
      <c r="A39" s="13" t="s">
        <v>160</v>
      </c>
      <c r="B39" s="14" t="s">
        <v>156</v>
      </c>
      <c r="C39" s="14" t="s">
        <v>27</v>
      </c>
      <c r="D39" s="14" t="s">
        <v>4</v>
      </c>
      <c r="E39" s="14"/>
      <c r="F39" s="14" t="s">
        <v>161</v>
      </c>
      <c r="G39" s="13"/>
    </row>
    <row r="40" customFormat="false" ht="15" hidden="false" customHeight="false" outlineLevel="0" collapsed="false">
      <c r="A40" s="13" t="s">
        <v>162</v>
      </c>
      <c r="B40" s="14" t="s">
        <v>156</v>
      </c>
      <c r="C40" s="14" t="s">
        <v>24</v>
      </c>
      <c r="D40" s="14" t="s">
        <v>4</v>
      </c>
      <c r="E40" s="14"/>
      <c r="F40" s="14" t="s">
        <v>163</v>
      </c>
      <c r="G40" s="13"/>
    </row>
    <row r="41" customFormat="false" ht="19.5" hidden="false" customHeight="true" outlineLevel="0" collapsed="false">
      <c r="A41" s="12" t="s">
        <v>164</v>
      </c>
      <c r="B41" s="12"/>
      <c r="C41" s="12"/>
      <c r="D41" s="12"/>
      <c r="E41" s="12"/>
      <c r="F41" s="12"/>
      <c r="G41" s="12"/>
    </row>
    <row r="42" customFormat="false" ht="15" hidden="false" customHeight="false" outlineLevel="0" collapsed="false">
      <c r="A42" s="13" t="s">
        <v>165</v>
      </c>
      <c r="B42" s="14" t="s">
        <v>166</v>
      </c>
      <c r="C42" s="14" t="s">
        <v>24</v>
      </c>
      <c r="D42" s="14" t="s">
        <v>4</v>
      </c>
      <c r="E42" s="14"/>
      <c r="F42" s="14" t="s">
        <v>167</v>
      </c>
      <c r="G42" s="13"/>
    </row>
    <row r="43" customFormat="false" ht="15" hidden="false" customHeight="false" outlineLevel="0" collapsed="false">
      <c r="A43" s="13" t="s">
        <v>168</v>
      </c>
      <c r="B43" s="14" t="s">
        <v>166</v>
      </c>
      <c r="C43" s="14" t="s">
        <v>27</v>
      </c>
      <c r="D43" s="14" t="s">
        <v>4</v>
      </c>
      <c r="E43" s="14"/>
      <c r="F43" s="14" t="s">
        <v>167</v>
      </c>
      <c r="G43" s="13"/>
    </row>
    <row r="44" customFormat="false" ht="19.5" hidden="false" customHeight="true" outlineLevel="0" collapsed="false">
      <c r="A44" s="12" t="s">
        <v>169</v>
      </c>
      <c r="B44" s="12"/>
      <c r="C44" s="12"/>
      <c r="D44" s="12"/>
      <c r="E44" s="12"/>
      <c r="F44" s="12"/>
      <c r="G44" s="12"/>
    </row>
    <row r="45" customFormat="false" ht="15" hidden="false" customHeight="false" outlineLevel="0" collapsed="false">
      <c r="A45" s="13" t="s">
        <v>170</v>
      </c>
      <c r="B45" s="14" t="s">
        <v>171</v>
      </c>
      <c r="C45" s="14" t="s">
        <v>24</v>
      </c>
      <c r="D45" s="14" t="s">
        <v>4</v>
      </c>
      <c r="E45" s="14"/>
      <c r="F45" s="14" t="s">
        <v>172</v>
      </c>
      <c r="G45" s="13"/>
    </row>
    <row r="46" customFormat="false" ht="15" hidden="false" customHeight="false" outlineLevel="0" collapsed="false">
      <c r="A46" s="13" t="s">
        <v>173</v>
      </c>
      <c r="B46" s="14" t="s">
        <v>171</v>
      </c>
      <c r="C46" s="14" t="s">
        <v>24</v>
      </c>
      <c r="D46" s="14" t="s">
        <v>4</v>
      </c>
      <c r="E46" s="14"/>
      <c r="F46" s="14" t="s">
        <v>174</v>
      </c>
      <c r="G46" s="13"/>
    </row>
    <row r="47" customFormat="false" ht="23.85" hidden="false" customHeight="false" outlineLevel="0" collapsed="false">
      <c r="A47" s="13" t="s">
        <v>175</v>
      </c>
      <c r="B47" s="14" t="s">
        <v>171</v>
      </c>
      <c r="C47" s="14" t="s">
        <v>24</v>
      </c>
      <c r="D47" s="14" t="s">
        <v>4</v>
      </c>
      <c r="E47" s="14"/>
      <c r="F47" s="14" t="s">
        <v>176</v>
      </c>
      <c r="G47" s="13"/>
    </row>
    <row r="48" customFormat="false" ht="15" hidden="false" customHeight="false" outlineLevel="0" collapsed="false">
      <c r="A48" s="13" t="s">
        <v>177</v>
      </c>
      <c r="B48" s="14" t="s">
        <v>171</v>
      </c>
      <c r="C48" s="14" t="s">
        <v>24</v>
      </c>
      <c r="D48" s="14" t="s">
        <v>4</v>
      </c>
      <c r="E48" s="14"/>
      <c r="F48" s="14" t="s">
        <v>178</v>
      </c>
      <c r="G48" s="13"/>
    </row>
    <row r="49" customFormat="false" ht="15" hidden="false" customHeight="false" outlineLevel="0" collapsed="false">
      <c r="A49" s="13" t="s">
        <v>179</v>
      </c>
      <c r="B49" s="14" t="s">
        <v>171</v>
      </c>
      <c r="C49" s="14" t="s">
        <v>27</v>
      </c>
      <c r="D49" s="14" t="s">
        <v>4</v>
      </c>
      <c r="E49" s="14"/>
      <c r="F49" s="14" t="s">
        <v>174</v>
      </c>
      <c r="G49" s="13"/>
    </row>
    <row r="50" customFormat="false" ht="19.5" hidden="false" customHeight="true" outlineLevel="0" collapsed="false">
      <c r="A50" s="12" t="s">
        <v>180</v>
      </c>
      <c r="B50" s="12"/>
      <c r="C50" s="12"/>
      <c r="D50" s="12"/>
      <c r="E50" s="12"/>
      <c r="F50" s="12"/>
      <c r="G50" s="12"/>
    </row>
    <row r="51" customFormat="false" ht="23.85" hidden="false" customHeight="false" outlineLevel="0" collapsed="false">
      <c r="A51" s="13" t="s">
        <v>181</v>
      </c>
      <c r="B51" s="14" t="s">
        <v>182</v>
      </c>
      <c r="C51" s="14" t="s">
        <v>24</v>
      </c>
      <c r="D51" s="14" t="s">
        <v>4</v>
      </c>
      <c r="E51" s="14"/>
      <c r="F51" s="14" t="s">
        <v>183</v>
      </c>
      <c r="G51" s="13"/>
    </row>
    <row r="52" customFormat="false" ht="15" hidden="false" customHeight="false" outlineLevel="0" collapsed="false">
      <c r="A52" s="13" t="s">
        <v>184</v>
      </c>
      <c r="B52" s="14" t="s">
        <v>182</v>
      </c>
      <c r="C52" s="14" t="s">
        <v>27</v>
      </c>
      <c r="D52" s="14" t="s">
        <v>4</v>
      </c>
      <c r="E52" s="14"/>
      <c r="F52" s="14" t="s">
        <v>185</v>
      </c>
      <c r="G52" s="13"/>
    </row>
    <row r="53" customFormat="false" ht="15" hidden="false" customHeight="false" outlineLevel="0" collapsed="false">
      <c r="A53" s="13" t="s">
        <v>186</v>
      </c>
      <c r="B53" s="14" t="s">
        <v>182</v>
      </c>
      <c r="C53" s="14" t="s">
        <v>24</v>
      </c>
      <c r="D53" s="14" t="s">
        <v>4</v>
      </c>
      <c r="E53" s="14"/>
      <c r="F53" s="14" t="s">
        <v>187</v>
      </c>
      <c r="G53" s="13"/>
    </row>
    <row r="54" customFormat="false" ht="15" hidden="false" customHeight="false" outlineLevel="0" collapsed="false">
      <c r="A54" s="13" t="s">
        <v>188</v>
      </c>
      <c r="B54" s="14" t="s">
        <v>182</v>
      </c>
      <c r="C54" s="14" t="s">
        <v>40</v>
      </c>
      <c r="D54" s="14" t="s">
        <v>4</v>
      </c>
      <c r="E54" s="14"/>
      <c r="F54" s="14" t="s">
        <v>189</v>
      </c>
      <c r="G54" s="13"/>
    </row>
    <row r="55" customFormat="false" ht="19.5" hidden="false" customHeight="true" outlineLevel="0" collapsed="false">
      <c r="A55" s="12" t="s">
        <v>190</v>
      </c>
      <c r="B55" s="12"/>
      <c r="C55" s="12"/>
      <c r="D55" s="12"/>
      <c r="E55" s="12"/>
      <c r="F55" s="12"/>
      <c r="G55" s="12"/>
    </row>
    <row r="56" customFormat="false" ht="15" hidden="false" customHeight="false" outlineLevel="0" collapsed="false">
      <c r="A56" s="13" t="s">
        <v>191</v>
      </c>
      <c r="B56" s="14" t="s">
        <v>192</v>
      </c>
      <c r="C56" s="14" t="s">
        <v>24</v>
      </c>
      <c r="D56" s="14" t="s">
        <v>4</v>
      </c>
      <c r="E56" s="14"/>
      <c r="F56" s="14" t="s">
        <v>193</v>
      </c>
      <c r="G56" s="13"/>
    </row>
    <row r="57" customFormat="false" ht="15" hidden="false" customHeight="false" outlineLevel="0" collapsed="false">
      <c r="A57" s="13" t="s">
        <v>194</v>
      </c>
      <c r="B57" s="14" t="s">
        <v>192</v>
      </c>
      <c r="C57" s="14" t="s">
        <v>40</v>
      </c>
      <c r="D57" s="14" t="s">
        <v>4</v>
      </c>
      <c r="E57" s="14"/>
      <c r="F57" s="14" t="s">
        <v>193</v>
      </c>
      <c r="G57" s="13"/>
    </row>
    <row r="58" customFormat="false" ht="15" hidden="false" customHeight="false" outlineLevel="0" collapsed="false">
      <c r="A58" s="13" t="s">
        <v>195</v>
      </c>
      <c r="B58" s="14" t="s">
        <v>192</v>
      </c>
      <c r="C58" s="14" t="s">
        <v>27</v>
      </c>
      <c r="D58" s="14" t="s">
        <v>4</v>
      </c>
      <c r="E58" s="14"/>
      <c r="F58" s="14" t="s">
        <v>196</v>
      </c>
      <c r="G58" s="13"/>
    </row>
    <row r="59" customFormat="false" ht="15" hidden="false" customHeight="false" outlineLevel="0" collapsed="false">
      <c r="A59" s="13" t="s">
        <v>197</v>
      </c>
      <c r="B59" s="14" t="s">
        <v>192</v>
      </c>
      <c r="C59" s="14" t="s">
        <v>27</v>
      </c>
      <c r="D59" s="14" t="s">
        <v>4</v>
      </c>
      <c r="E59" s="14"/>
      <c r="F59" s="14" t="s">
        <v>196</v>
      </c>
      <c r="G59" s="13"/>
    </row>
  </sheetData>
  <mergeCells count="11">
    <mergeCell ref="A2:G2"/>
    <mergeCell ref="A9:G9"/>
    <mergeCell ref="A15:G15"/>
    <mergeCell ref="A21:G21"/>
    <mergeCell ref="A26:G26"/>
    <mergeCell ref="A32:G32"/>
    <mergeCell ref="A36:G36"/>
    <mergeCell ref="A41:G41"/>
    <mergeCell ref="A44:G44"/>
    <mergeCell ref="A50:G50"/>
    <mergeCell ref="A55:G55"/>
  </mergeCells>
  <dataValidations count="2">
    <dataValidation allowBlank="true" errorStyle="stop" operator="between" showDropDown="false" showErrorMessage="false" showInputMessage="false" sqref="D3:D8 D10:D14 D16:D20 D22:D25 D27:D31 D33:D35 D37:D40 D42:D43 D45:D49 D51:D54 D56:D59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C3:C8 C10:C14 C16:C20 C22:C25 C27:C31 C33:C35 C37:C40 C42:C43 C45:C49 C51:C54 C56:C59" type="list">
      <formula1>"P0,P1,P2"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25.5" hidden="false" customHeight="true" outlineLevel="0" collapsed="false">
      <c r="A1" s="3" t="s">
        <v>198</v>
      </c>
      <c r="B1" s="3" t="s">
        <v>18</v>
      </c>
      <c r="C1" s="3" t="s">
        <v>199</v>
      </c>
    </row>
    <row r="2" customFormat="false" ht="15" hidden="false" customHeight="false" outlineLevel="0" collapsed="false">
      <c r="A2" s="13" t="s">
        <v>200</v>
      </c>
      <c r="B2" s="14" t="s">
        <v>201</v>
      </c>
      <c r="C2" s="13"/>
    </row>
    <row r="3" customFormat="false" ht="15" hidden="false" customHeight="false" outlineLevel="0" collapsed="false">
      <c r="A3" s="13" t="s">
        <v>202</v>
      </c>
      <c r="B3" s="14" t="s">
        <v>201</v>
      </c>
      <c r="C3" s="13"/>
    </row>
    <row r="4" customFormat="false" ht="15" hidden="false" customHeight="false" outlineLevel="0" collapsed="false">
      <c r="A4" s="13" t="s">
        <v>203</v>
      </c>
      <c r="B4" s="14" t="s">
        <v>201</v>
      </c>
      <c r="C4" s="13"/>
    </row>
    <row r="5" customFormat="false" ht="15" hidden="false" customHeight="false" outlineLevel="0" collapsed="false">
      <c r="A5" s="13" t="s">
        <v>204</v>
      </c>
      <c r="B5" s="14" t="s">
        <v>201</v>
      </c>
      <c r="C5" s="13"/>
    </row>
    <row r="6" customFormat="false" ht="15" hidden="false" customHeight="false" outlineLevel="0" collapsed="false">
      <c r="A6" s="13" t="s">
        <v>205</v>
      </c>
      <c r="B6" s="14" t="s">
        <v>201</v>
      </c>
      <c r="C6" s="13"/>
    </row>
    <row r="7" customFormat="false" ht="23.85" hidden="false" customHeight="false" outlineLevel="0" collapsed="false">
      <c r="A7" s="13" t="s">
        <v>206</v>
      </c>
      <c r="B7" s="14" t="s">
        <v>201</v>
      </c>
      <c r="C7" s="13"/>
    </row>
    <row r="8" customFormat="false" ht="15" hidden="false" customHeight="false" outlineLevel="0" collapsed="false">
      <c r="A8" s="13" t="s">
        <v>207</v>
      </c>
      <c r="B8" s="14" t="s">
        <v>201</v>
      </c>
      <c r="C8" s="13"/>
    </row>
    <row r="9" customFormat="false" ht="15" hidden="false" customHeight="false" outlineLevel="0" collapsed="false">
      <c r="A9" s="13" t="s">
        <v>208</v>
      </c>
      <c r="B9" s="14" t="s">
        <v>201</v>
      </c>
      <c r="C9" s="13"/>
    </row>
    <row r="10" customFormat="false" ht="15" hidden="false" customHeight="false" outlineLevel="0" collapsed="false">
      <c r="A10" s="13" t="s">
        <v>209</v>
      </c>
      <c r="B10" s="14" t="s">
        <v>201</v>
      </c>
      <c r="C10" s="13"/>
    </row>
    <row r="11" customFormat="false" ht="15" hidden="false" customHeight="false" outlineLevel="0" collapsed="false">
      <c r="A11" s="13" t="s">
        <v>210</v>
      </c>
      <c r="B11" s="14" t="s">
        <v>201</v>
      </c>
      <c r="C11" s="13"/>
    </row>
    <row r="12" customFormat="false" ht="15" hidden="false" customHeight="false" outlineLevel="0" collapsed="false">
      <c r="A12" s="13" t="s">
        <v>211</v>
      </c>
      <c r="B12" s="14" t="s">
        <v>201</v>
      </c>
      <c r="C12" s="13"/>
    </row>
    <row r="13" customFormat="false" ht="15" hidden="false" customHeight="false" outlineLevel="0" collapsed="false">
      <c r="A13" s="13" t="s">
        <v>212</v>
      </c>
      <c r="B13" s="14" t="s">
        <v>201</v>
      </c>
      <c r="C13" s="13"/>
    </row>
    <row r="14" customFormat="false" ht="15" hidden="false" customHeight="false" outlineLevel="0" collapsed="false">
      <c r="A14" s="13" t="s">
        <v>213</v>
      </c>
      <c r="B14" s="14" t="s">
        <v>201</v>
      </c>
      <c r="C14" s="13"/>
    </row>
    <row r="15" customFormat="false" ht="15" hidden="false" customHeight="false" outlineLevel="0" collapsed="false">
      <c r="A15" s="13" t="s">
        <v>214</v>
      </c>
      <c r="B15" s="14" t="s">
        <v>201</v>
      </c>
      <c r="C15" s="13"/>
    </row>
    <row r="16" customFormat="false" ht="15" hidden="false" customHeight="false" outlineLevel="0" collapsed="false">
      <c r="A16" s="13" t="s">
        <v>215</v>
      </c>
      <c r="B16" s="14" t="s">
        <v>201</v>
      </c>
      <c r="C16" s="13"/>
    </row>
    <row r="17" customFormat="false" ht="15" hidden="false" customHeight="false" outlineLevel="0" collapsed="false">
      <c r="A17" s="13" t="s">
        <v>216</v>
      </c>
      <c r="B17" s="14" t="s">
        <v>201</v>
      </c>
      <c r="C17" s="13"/>
    </row>
    <row r="18" customFormat="false" ht="15" hidden="false" customHeight="false" outlineLevel="0" collapsed="false">
      <c r="A18" s="13" t="s">
        <v>217</v>
      </c>
      <c r="B18" s="14" t="s">
        <v>201</v>
      </c>
      <c r="C18" s="13"/>
    </row>
    <row r="19" customFormat="false" ht="23.85" hidden="false" customHeight="false" outlineLevel="0" collapsed="false">
      <c r="A19" s="13" t="s">
        <v>218</v>
      </c>
      <c r="B19" s="14" t="s">
        <v>201</v>
      </c>
      <c r="C19" s="13"/>
    </row>
    <row r="20" customFormat="false" ht="15" hidden="false" customHeight="false" outlineLevel="0" collapsed="false">
      <c r="A20" s="13" t="s">
        <v>219</v>
      </c>
      <c r="B20" s="14" t="s">
        <v>201</v>
      </c>
      <c r="C20" s="13"/>
    </row>
    <row r="21" customFormat="false" ht="23.85" hidden="false" customHeight="false" outlineLevel="0" collapsed="false">
      <c r="A21" s="13" t="s">
        <v>220</v>
      </c>
      <c r="B21" s="14" t="s">
        <v>201</v>
      </c>
      <c r="C21" s="13"/>
    </row>
    <row r="22" customFormat="false" ht="15" hidden="false" customHeight="false" outlineLevel="0" collapsed="false">
      <c r="A22" s="13" t="s">
        <v>221</v>
      </c>
      <c r="B22" s="14" t="s">
        <v>201</v>
      </c>
      <c r="C22" s="13"/>
    </row>
    <row r="23" customFormat="false" ht="15" hidden="false" customHeight="false" outlineLevel="0" collapsed="false">
      <c r="A23" s="13" t="s">
        <v>222</v>
      </c>
      <c r="B23" s="14" t="s">
        <v>201</v>
      </c>
      <c r="C23" s="13"/>
    </row>
    <row r="24" customFormat="false" ht="15" hidden="false" customHeight="false" outlineLevel="0" collapsed="false">
      <c r="A24" s="13" t="s">
        <v>223</v>
      </c>
      <c r="B24" s="14" t="s">
        <v>201</v>
      </c>
      <c r="C24" s="13"/>
    </row>
  </sheetData>
  <dataValidations count="1">
    <dataValidation allowBlank="true" errorStyle="stop" operator="between" showDropDown="false" showErrorMessage="false" showInputMessage="false" sqref="B2:B24" type="list">
      <formula1>"Pass,Fail,Not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</cols>
  <sheetData>
    <row r="1" customFormat="false" ht="25.5" hidden="false" customHeight="true" outlineLevel="0" collapsed="false">
      <c r="A1" s="3" t="s">
        <v>224</v>
      </c>
      <c r="B1" s="3" t="s">
        <v>225</v>
      </c>
    </row>
    <row r="2" customFormat="false" ht="15" hidden="false" customHeight="false" outlineLevel="0" collapsed="false">
      <c r="A2" s="13" t="s">
        <v>226</v>
      </c>
      <c r="B2" s="14"/>
    </row>
    <row r="3" customFormat="false" ht="15" hidden="false" customHeight="false" outlineLevel="0" collapsed="false">
      <c r="A3" s="13" t="s">
        <v>227</v>
      </c>
      <c r="B3" s="14"/>
    </row>
    <row r="4" customFormat="false" ht="15" hidden="false" customHeight="false" outlineLevel="0" collapsed="false">
      <c r="A4" s="13" t="s">
        <v>228</v>
      </c>
      <c r="B4" s="14"/>
    </row>
    <row r="5" customFormat="false" ht="15" hidden="false" customHeight="false" outlineLevel="0" collapsed="false">
      <c r="A5" s="13" t="s">
        <v>229</v>
      </c>
      <c r="B5" s="14"/>
    </row>
    <row r="6" customFormat="false" ht="15" hidden="false" customHeight="false" outlineLevel="0" collapsed="false">
      <c r="A6" s="13" t="s">
        <v>230</v>
      </c>
      <c r="B6" s="14"/>
    </row>
    <row r="7" customFormat="false" ht="15" hidden="false" customHeight="false" outlineLevel="0" collapsed="false">
      <c r="A7" s="13" t="s">
        <v>231</v>
      </c>
      <c r="B7" s="14"/>
    </row>
    <row r="8" customFormat="false" ht="15" hidden="false" customHeight="false" outlineLevel="0" collapsed="false">
      <c r="A8" s="13" t="s">
        <v>232</v>
      </c>
      <c r="B8" s="14"/>
    </row>
    <row r="9" customFormat="false" ht="15" hidden="false" customHeight="false" outlineLevel="0" collapsed="false">
      <c r="A9" s="13" t="s">
        <v>233</v>
      </c>
      <c r="B9" s="14"/>
    </row>
    <row r="10" customFormat="false" ht="15" hidden="false" customHeight="false" outlineLevel="0" collapsed="false">
      <c r="A10" s="13" t="s">
        <v>234</v>
      </c>
      <c r="B10" s="14"/>
    </row>
    <row r="11" customFormat="false" ht="15" hidden="false" customHeight="false" outlineLevel="0" collapsed="false">
      <c r="A11" s="13" t="s">
        <v>235</v>
      </c>
      <c r="B11" s="14"/>
    </row>
    <row r="12" customFormat="false" ht="15" hidden="false" customHeight="false" outlineLevel="0" collapsed="false">
      <c r="A12" s="13" t="s">
        <v>236</v>
      </c>
      <c r="B12" s="14"/>
    </row>
    <row r="13" customFormat="false" ht="15" hidden="false" customHeight="false" outlineLevel="0" collapsed="false">
      <c r="A13" s="13" t="s">
        <v>237</v>
      </c>
      <c r="B13" s="14"/>
    </row>
    <row r="14" customFormat="false" ht="15" hidden="false" customHeight="false" outlineLevel="0" collapsed="false">
      <c r="A14" s="13" t="s">
        <v>238</v>
      </c>
      <c r="B14" s="14"/>
    </row>
    <row r="15" customFormat="false" ht="15" hidden="false" customHeight="false" outlineLevel="0" collapsed="false">
      <c r="A15" s="13" t="s">
        <v>239</v>
      </c>
      <c r="B15" s="14"/>
    </row>
  </sheetData>
  <dataValidations count="1">
    <dataValidation allowBlank="true" errorStyle="stop" operator="between" showDropDown="false" showErrorMessage="false" showInputMessage="false" sqref="B2:B15" type="list">
      <formula1>"P0,P1,P2"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2026-08-11T13:17:54Z</dcterms:created>
  <dc:creator>openpyxl</dc:creator>
  <dc:description/>
  <dc:language>en-US</dc:language>
  <cp:lastModifiedBy/>
  <dcterms:modified xsi:type="dcterms:W3CDTF">2026-08-11T13:17:54Z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